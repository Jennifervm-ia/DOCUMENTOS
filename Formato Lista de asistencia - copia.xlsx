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enni\Desktop\"/>
    </mc:Choice>
  </mc:AlternateContent>
  <xr:revisionPtr revIDLastSave="0" documentId="13_ncr:1_{140C4C8F-765F-418E-86D6-E7A5B6BB80C5}" xr6:coauthVersionLast="47" xr6:coauthVersionMax="47" xr10:uidLastSave="{00000000-0000-0000-0000-000000000000}"/>
  <bookViews>
    <workbookView xWindow="-120" yWindow="-120" windowWidth="20730" windowHeight="11040" firstSheet="2" activeTab="2" xr2:uid="{00000000-000D-0000-FFFF-FFFF00000000}"/>
  </bookViews>
  <sheets>
    <sheet name="Original" sheetId="1" state="hidden" r:id="rId1"/>
    <sheet name="Hoja1" sheetId="2" state="hidden" r:id="rId2"/>
    <sheet name="Lista de Asistencia fisica  (4)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</calcChain>
</file>

<file path=xl/sharedStrings.xml><?xml version="1.0" encoding="utf-8"?>
<sst xmlns="http://schemas.openxmlformats.org/spreadsheetml/2006/main" count="180" uniqueCount="132">
  <si>
    <t>Coca-Cola FEMSA</t>
  </si>
  <si>
    <t>Herramienta de evaluación</t>
  </si>
  <si>
    <t>Ciclo Estándar de Reparto</t>
  </si>
  <si>
    <t>CALIFICACION FINAL:</t>
  </si>
  <si>
    <t>#</t>
  </si>
  <si>
    <t>¿En qué momento evalúo?</t>
  </si>
  <si>
    <t>¿A quién evalúo?</t>
  </si>
  <si>
    <t>Actividad</t>
  </si>
  <si>
    <t>¿Qué evalúo?</t>
  </si>
  <si>
    <t>¿Como se evalúa?</t>
  </si>
  <si>
    <t>¿Qué evidencia solicito?</t>
  </si>
  <si>
    <t>¿Cumple con la actividad?</t>
  </si>
  <si>
    <t>Comentarios</t>
  </si>
  <si>
    <t>SI =1/NO=0</t>
  </si>
  <si>
    <t>Salida de rutas</t>
  </si>
  <si>
    <t>Todos los Supervisores de Reparto</t>
  </si>
  <si>
    <t>Pase de lista, asignación de tripulación, seguridad y recursos</t>
  </si>
  <si>
    <t xml:space="preserve">¿Saluda y recibe a sus vendedores? </t>
  </si>
  <si>
    <t>Validar en la puerta de entrada el pase de lista y si se realiza la verificacion física y de imagen del vendedor</t>
  </si>
  <si>
    <t>No aplica documentación. Se evalua presencialmente</t>
  </si>
  <si>
    <t>1 Supervisor de Reparto</t>
  </si>
  <si>
    <t>Platicas y rutinas de seguridad</t>
  </si>
  <si>
    <t>Consultar la platica de seguridad de la semana y solicitar evidencia o presenciar la platica</t>
  </si>
  <si>
    <t xml:space="preserve">Evidencia de la platica de seguridad y cotejar con entrevista a 2 vendedores </t>
  </si>
  <si>
    <t>Coordinador de Reparto</t>
  </si>
  <si>
    <t>Salida de Rutas</t>
  </si>
  <si>
    <t>¿El Coordinador de Reparto  asegura la salida de todas las rutas al mercado?</t>
  </si>
  <si>
    <t>Validar la supervisión y participación activa del Coodinador de Reparto en la salida de Rutas</t>
  </si>
  <si>
    <t xml:space="preserve">Asegura herramientas necesarias en las rutas (carretillas, patines y equipo de seguridad).
</t>
  </si>
  <si>
    <t>Validar en la puerta de salida aleatoriamente 5 rutas que cuenten con todo el equipo de seguridad</t>
  </si>
  <si>
    <t>2 Supervisores de Reparto</t>
  </si>
  <si>
    <t>Retroalimentación al Vendedor</t>
  </si>
  <si>
    <t xml:space="preserve"> ¿realiza el ejercicio de retroalimentación con alguno de sus Vendedores?</t>
  </si>
  <si>
    <t>Validar que 2 Supervisores de Reparto realicen retroalimentación a uno de sus Vendedores abarcando alguno de los siguientes temas:
- Saldos, Devoluciones, Temas de servicio</t>
  </si>
  <si>
    <t>1 Supervisor de Reparto (aleatorio, Supervisor a abordar en mercado)</t>
  </si>
  <si>
    <t xml:space="preserve">Planeación de supervisión </t>
  </si>
  <si>
    <t>¿Prepara su abordaje?</t>
  </si>
  <si>
    <t>Verificar que el supervisor  cuenta con un plan de actividades a realizar en el mercado (Formato de supervisión, revisión de saldos, seguimiento con clientes para mejora de eficiencia, CIS, auditoria de cambios, etc)</t>
  </si>
  <si>
    <t>Tomar FOTO o sacar COPIA de:
- Plan semanal/mensual de trabajo
(con una de las evidencias basta)</t>
  </si>
  <si>
    <t xml:space="preserve">Actividades de planeación </t>
  </si>
  <si>
    <t>La gestión y análisis de oportunidades y mejoras implementadas en el último mes</t>
  </si>
  <si>
    <t xml:space="preserve">Solicitar al Coordinador muestre resultados de cierre, planes de acción: la manera en que está mejorando los indicadores y como está atendiendo las oportunidades dentro de su región. </t>
  </si>
  <si>
    <t>Tomar FOTO o sacar COPIA de:
- Presentaciones
- Resultados de inidcadores y tendencias de acuerdo a los planes implementados</t>
  </si>
  <si>
    <t>Comunicación visual CER</t>
  </si>
  <si>
    <t>¿La comunicación  de banners y tablero esta visible?</t>
  </si>
  <si>
    <t>Observar la ubicación de los materiales CER (BANNERS, tableros RH)</t>
  </si>
  <si>
    <t>Tomar FOTO de evidencia de la ubicación de los banners CER</t>
  </si>
  <si>
    <t>Reparto</t>
  </si>
  <si>
    <t>Tripulación abordada</t>
  </si>
  <si>
    <t>Habilitadores</t>
  </si>
  <si>
    <t>Equipo de seguridad</t>
  </si>
  <si>
    <t>Validar el uso de equipo de seguridad durante la entrega del producto (faja, guantes, zapatos de seguridad y uniforme completo)</t>
  </si>
  <si>
    <t xml:space="preserve">No aplica documentación. Se evalua presencialmente </t>
  </si>
  <si>
    <t>Rutina</t>
  </si>
  <si>
    <t>Maniobra de reversa asistida</t>
  </si>
  <si>
    <t>El vendedor durante el coleo de ruta, realiza la maniobra en reversa asistida de forma correcta?</t>
  </si>
  <si>
    <t>La política de cobro seguro</t>
  </si>
  <si>
    <t>Observar la operación de entrega y cobro y observar si el vendedor deposita posterior al cobro el dinero en la caja de seguridad</t>
  </si>
  <si>
    <t>Rol</t>
  </si>
  <si>
    <t>Conocimiento, entendimiento y dominio del rol del Vendedor</t>
  </si>
  <si>
    <t xml:space="preserve">Preguntar al Vendedor si conoce su rol en CER:                                                                     - Ser responsable de la seguridad de todos  - Cumplimiento a políticas, normas y valores     
-Visitar al 100% de los clientes                      -Garantizar cumplimiento a los indicadores - Liquidar los pedidos            </t>
  </si>
  <si>
    <t xml:space="preserve">No aplica documentación. Se evalua presencialmente entrevistando al vendedor </t>
  </si>
  <si>
    <t>Rutina de trabajo</t>
  </si>
  <si>
    <t>Pasos de la visita Vendedor</t>
  </si>
  <si>
    <r>
      <t>Preguntar al Vendedor si conoce los pasos a realizar en la visita y que los mencione, deben ser:
1.</t>
    </r>
    <r>
      <rPr>
        <sz val="11"/>
        <color theme="1"/>
        <rFont val="Calibri"/>
        <family val="2"/>
        <scheme val="minor"/>
      </rPr>
      <t>- Revisar libro de ruta
2.- Saludar con amabilidad al cliente 
3.- Confimar y revisar el pedido
4.- Acordar el acomodo del producto
5.- Descargar producto a entregar y recoger envase retornable
6.- Recabar firma de promociones y cobrar importe estipulado (política de cobro seguro)
7.- Despedirse del cliente</t>
    </r>
  </si>
  <si>
    <t>No aplica documentación. Se evalua presencialmente mediante la pregunta</t>
  </si>
  <si>
    <t>1 Supervisor de Reparto (abordado)</t>
  </si>
  <si>
    <t>Supervisión de la ruta</t>
  </si>
  <si>
    <t xml:space="preserve">Validar que el Supervisor de Reparto asegure que el Vendedor cumpla con los pasos en la visita a mercado.
</t>
  </si>
  <si>
    <t>Supervisior de reparto (abordado)</t>
  </si>
  <si>
    <t>Revisar que el Supervisor de Reparto retroalimente al Vendedor en ruta en cualquiera de los siguientes puntos:
- Gestión de Seguridad, vial, SASSO e imagen
- Indicadores                                                          - Actitud y servicio al cliente
- Gestión de servicio y ejecución</t>
  </si>
  <si>
    <t>Copia del Formato de supervisión utilizado</t>
  </si>
  <si>
    <t>ASASD</t>
  </si>
  <si>
    <t xml:space="preserve">Pre liquidación </t>
  </si>
  <si>
    <t>Posterior al ultimo cliente, la tripulación ¿ realiza la preparación para agilizar la liquidación: ordena documentos,  orden y limpieza de la carga o materiales a devolver y se asegura de tener todo el efectivo depositado en la caja de seguridad?</t>
  </si>
  <si>
    <t>Regreso de rutas</t>
  </si>
  <si>
    <t>1 Supervisor de reparto</t>
  </si>
  <si>
    <t>Recepción de rutas</t>
  </si>
  <si>
    <t>Identificación de todas las rutas para comunicación en caso de emergencia</t>
  </si>
  <si>
    <t xml:space="preserve">Solicitar al supervisor el listado de rutas con identificación de cual ya regreso y cual esta en mercado con posibilidad de localización </t>
  </si>
  <si>
    <t>Directorio telefonico, listado de rutas al moemento</t>
  </si>
  <si>
    <t xml:space="preserve">1 Supervisor de Reparto </t>
  </si>
  <si>
    <t>Recepción de Rutas y Liquidación</t>
  </si>
  <si>
    <t>Gestión de recepción y Liquidación</t>
  </si>
  <si>
    <t xml:space="preserve">Junta semanal Ventas </t>
  </si>
  <si>
    <t>Validar la interacción y revisión de pendientes con Ventas</t>
  </si>
  <si>
    <t xml:space="preserve">Solicitar al Coordinador de Reparto la minuta de acuerdos y seguimientos. En caso de que la evaluación coincida en día JUEVES, validar presencial la reunión </t>
  </si>
  <si>
    <t>Tomar FOTO o sacar COPIA de:
- Presentaciones
- Lista de asistencia
- Minutas 2 semanas</t>
  </si>
  <si>
    <t>Comunicación (Mensaje clave del día)</t>
  </si>
  <si>
    <t>Retroalimentación al Vendedor en base a OT de reparto y OT de cliente</t>
  </si>
  <si>
    <t>Junta supervisor reparto</t>
  </si>
  <si>
    <t>Validar avance de Indicadores y OT's</t>
  </si>
  <si>
    <t>Generación y recepción de OT's de supervisores</t>
  </si>
  <si>
    <t>¿Retroalimentación al Vendedor en ruta?</t>
  </si>
  <si>
    <t>No aplica</t>
  </si>
  <si>
    <t>Validar que el Coordinador asegure la realización de las mismas.</t>
  </si>
  <si>
    <t>Recepción de reportes.</t>
  </si>
  <si>
    <t>Planeación de actividades estratégicas</t>
  </si>
  <si>
    <t>Generación de actividades estratégicas para mejoras.</t>
  </si>
  <si>
    <t>Seguimiento a indicadores y planes de trabajo.</t>
  </si>
  <si>
    <t>Validar que el Supervisor de reparto:                                      -Reciba las rutas a su cargo soportandondo a los Vendedores por alguna problemática           -Asegurar que todas las rutas a su cargo realicen la correcta liquidación -Asegurar el cierre de todas las OT's de reparto y OT's de clientes - Gestión administrativa de dispositivos móviles</t>
  </si>
  <si>
    <t>SEDE:</t>
  </si>
  <si>
    <t xml:space="preserve"> FECHA:</t>
  </si>
  <si>
    <t>DURACIÓN:</t>
  </si>
  <si>
    <t>NOMBRE</t>
  </si>
  <si>
    <t>FIRMA</t>
  </si>
  <si>
    <t>PUESTO</t>
  </si>
  <si>
    <t>AREA</t>
  </si>
  <si>
    <t>DIAS DEL EVENTO</t>
  </si>
  <si>
    <t>APELLIDO PATERNO, MATERNO Y NOMBRE (S)</t>
  </si>
  <si>
    <t>N/S</t>
  </si>
  <si>
    <t>S</t>
  </si>
  <si>
    <t>L</t>
  </si>
  <si>
    <t>M</t>
  </si>
  <si>
    <t>J</t>
  </si>
  <si>
    <t>V</t>
  </si>
  <si>
    <t>D</t>
  </si>
  <si>
    <t>Nombre y Firma del Instructor</t>
  </si>
  <si>
    <t>Lista de Asistencia</t>
  </si>
  <si>
    <t>HORARIO:</t>
  </si>
  <si>
    <t>UNIDAD OPERATIVA</t>
  </si>
  <si>
    <t>NO.</t>
  </si>
  <si>
    <t>ID EMPLEADO</t>
  </si>
  <si>
    <t>ID UFEMSA:</t>
  </si>
  <si>
    <t>Tipo de documento: Formato</t>
  </si>
  <si>
    <t>Número de revisión: Rev 01</t>
  </si>
  <si>
    <t>Fecha de Expiración: 2027-03-12</t>
  </si>
  <si>
    <t>Fecha de Emisión: 2024-03-12</t>
  </si>
  <si>
    <t>Código: MEX-DS-CD-0005</t>
  </si>
  <si>
    <t xml:space="preserve">NOMBRE DEL EVENTO: </t>
  </si>
  <si>
    <t xml:space="preserve">NOMBRE DEL INSTRUCTOR O MODERADOR: </t>
  </si>
  <si>
    <t xml:space="preserve">PROVEEDOR: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</si>
</sst>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26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4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gray0625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gray0625">
        <fgColor indexed="22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2" borderId="0" xfId="0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5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right"/>
    </xf>
    <xf numFmtId="10" fontId="6" fillId="2" borderId="0" xfId="1" applyNumberFormat="1" applyFont="1" applyFill="1" applyAlignment="1">
      <alignment horizontal="left"/>
    </xf>
    <xf numFmtId="0" fontId="0" fillId="2" borderId="0" xfId="0" applyFill="1" applyAlignment="1">
      <alignment horizontal="left" wrapText="1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4" borderId="1" xfId="0" quotePrefix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1" xfId="0" quotePrefix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11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5" borderId="0" xfId="0" applyFill="1"/>
    <xf numFmtId="0" fontId="12" fillId="7" borderId="10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0" fillId="0" borderId="3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0" fillId="5" borderId="18" xfId="0" applyFill="1" applyBorder="1"/>
    <xf numFmtId="0" fontId="0" fillId="5" borderId="18" xfId="0" applyFill="1" applyBorder="1" applyAlignment="1">
      <alignment vertical="top"/>
    </xf>
    <xf numFmtId="0" fontId="12" fillId="7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/>
    </xf>
    <xf numFmtId="0" fontId="18" fillId="0" borderId="1" xfId="0" quotePrefix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3" fillId="0" borderId="0" xfId="0" applyFont="1" applyBorder="1" applyAlignment="1">
      <alignment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wrapText="1"/>
    </xf>
    <xf numFmtId="9" fontId="8" fillId="2" borderId="0" xfId="1" applyFont="1" applyFill="1" applyAlignment="1">
      <alignment horizont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left" vertical="center"/>
    </xf>
    <xf numFmtId="0" fontId="12" fillId="8" borderId="5" xfId="0" applyFont="1" applyFill="1" applyBorder="1" applyAlignment="1">
      <alignment horizontal="left" vertical="center"/>
    </xf>
    <xf numFmtId="0" fontId="12" fillId="8" borderId="15" xfId="0" applyFont="1" applyFill="1" applyBorder="1" applyAlignment="1">
      <alignment horizontal="left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0" fontId="12" fillId="7" borderId="13" xfId="0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0" fontId="12" fillId="7" borderId="16" xfId="0" applyFont="1" applyFill="1" applyBorder="1" applyAlignment="1">
      <alignment horizontal="center" vertical="center"/>
    </xf>
    <xf numFmtId="0" fontId="12" fillId="7" borderId="14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 wrapText="1"/>
    </xf>
    <xf numFmtId="0" fontId="12" fillId="7" borderId="10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/>
    </xf>
    <xf numFmtId="0" fontId="13" fillId="6" borderId="15" xfId="0" applyFont="1" applyFill="1" applyBorder="1" applyAlignment="1">
      <alignment horizontal="center" vertical="center"/>
    </xf>
    <xf numFmtId="14" fontId="12" fillId="6" borderId="4" xfId="0" applyNumberFormat="1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 wrapText="1"/>
    </xf>
    <xf numFmtId="0" fontId="12" fillId="6" borderId="15" xfId="0" applyFont="1" applyFill="1" applyBorder="1" applyAlignment="1">
      <alignment horizontal="center" vertical="center" wrapText="1"/>
    </xf>
    <xf numFmtId="0" fontId="15" fillId="0" borderId="17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90604</xdr:rowOff>
    </xdr:from>
    <xdr:to>
      <xdr:col>1</xdr:col>
      <xdr:colOff>603250</xdr:colOff>
      <xdr:row>4</xdr:row>
      <xdr:rowOff>35116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" y="90604"/>
          <a:ext cx="768350" cy="7065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1037167</xdr:colOff>
      <xdr:row>0</xdr:row>
      <xdr:rowOff>21166</xdr:rowOff>
    </xdr:from>
    <xdr:to>
      <xdr:col>8</xdr:col>
      <xdr:colOff>1795176</xdr:colOff>
      <xdr:row>4</xdr:row>
      <xdr:rowOff>67733</xdr:rowOff>
    </xdr:to>
    <xdr:pic>
      <xdr:nvPicPr>
        <xdr:cNvPr id="3" name="6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4767" y="21166"/>
          <a:ext cx="758009" cy="8085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165019</xdr:colOff>
      <xdr:row>1</xdr:row>
      <xdr:rowOff>23812</xdr:rowOff>
    </xdr:from>
    <xdr:to>
      <xdr:col>3</xdr:col>
      <xdr:colOff>524673</xdr:colOff>
      <xdr:row>2</xdr:row>
      <xdr:rowOff>286133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id="{2580DD86-CF49-4104-89CE-084F8C55A5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209"/>
        <a:stretch/>
      </xdr:blipFill>
      <xdr:spPr bwMode="auto">
        <a:xfrm>
          <a:off x="946069" y="214312"/>
          <a:ext cx="950204" cy="5290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opLeftCell="A6" zoomScale="90" zoomScaleNormal="90" workbookViewId="0">
      <selection activeCell="F6" sqref="F6:F7"/>
    </sheetView>
  </sheetViews>
  <sheetFormatPr baseColWidth="10" defaultRowHeight="15" x14ac:dyDescent="0.25"/>
  <cols>
    <col min="1" max="1" width="3.42578125" style="14" bestFit="1" customWidth="1"/>
    <col min="2" max="2" width="17.5703125" customWidth="1"/>
    <col min="3" max="3" width="23.5703125" customWidth="1"/>
    <col min="4" max="4" width="19.85546875" style="14" customWidth="1"/>
    <col min="5" max="5" width="26.140625" style="14" customWidth="1"/>
    <col min="6" max="6" width="36.140625" customWidth="1"/>
    <col min="7" max="7" width="24.85546875" customWidth="1"/>
    <col min="8" max="8" width="17.85546875" customWidth="1"/>
    <col min="9" max="9" width="28.5703125" customWidth="1"/>
    <col min="11" max="11" width="0" hidden="1" customWidth="1"/>
  </cols>
  <sheetData>
    <row r="1" spans="1:11" x14ac:dyDescent="0.25">
      <c r="A1" s="1"/>
      <c r="B1" s="1"/>
      <c r="C1" s="2"/>
      <c r="D1" s="3"/>
      <c r="E1" s="3"/>
      <c r="F1" s="2"/>
      <c r="G1" s="2"/>
      <c r="H1" s="4"/>
      <c r="I1" s="4"/>
      <c r="K1">
        <v>0</v>
      </c>
    </row>
    <row r="2" spans="1:11" ht="18.75" x14ac:dyDescent="0.3">
      <c r="A2" s="5"/>
      <c r="B2" s="6"/>
      <c r="C2" s="5" t="s">
        <v>0</v>
      </c>
      <c r="D2" s="7"/>
      <c r="E2" s="8"/>
      <c r="F2" s="9"/>
      <c r="G2" s="10"/>
      <c r="H2" s="56"/>
      <c r="I2" s="2"/>
      <c r="K2">
        <v>1</v>
      </c>
    </row>
    <row r="3" spans="1:11" ht="18.75" x14ac:dyDescent="0.3">
      <c r="A3" s="5"/>
      <c r="B3" s="5"/>
      <c r="C3" s="5" t="s">
        <v>1</v>
      </c>
      <c r="D3" s="8"/>
      <c r="E3" s="8"/>
      <c r="F3" s="9"/>
      <c r="G3" s="57">
        <f>+(SUM($H$8:$H$29)/22)</f>
        <v>0.95454545454545459</v>
      </c>
      <c r="H3" s="56"/>
      <c r="I3" s="11"/>
    </row>
    <row r="4" spans="1:11" ht="18.75" x14ac:dyDescent="0.3">
      <c r="A4" s="1"/>
      <c r="B4" s="12"/>
      <c r="C4" s="5" t="s">
        <v>2</v>
      </c>
      <c r="D4" s="13"/>
      <c r="E4" s="8"/>
      <c r="F4" s="9" t="s">
        <v>3</v>
      </c>
      <c r="G4" s="57"/>
      <c r="H4" s="2"/>
      <c r="I4" s="2"/>
    </row>
    <row r="6" spans="1:11" ht="30" x14ac:dyDescent="0.25">
      <c r="A6" s="58" t="s">
        <v>4</v>
      </c>
      <c r="B6" s="59" t="s">
        <v>5</v>
      </c>
      <c r="C6" s="58" t="s">
        <v>6</v>
      </c>
      <c r="D6" s="58" t="s">
        <v>7</v>
      </c>
      <c r="E6" s="58" t="s">
        <v>8</v>
      </c>
      <c r="F6" s="58" t="s">
        <v>9</v>
      </c>
      <c r="G6" s="58" t="s">
        <v>10</v>
      </c>
      <c r="H6" s="15" t="s">
        <v>11</v>
      </c>
      <c r="I6" s="55" t="s">
        <v>12</v>
      </c>
    </row>
    <row r="7" spans="1:11" x14ac:dyDescent="0.25">
      <c r="A7" s="58"/>
      <c r="B7" s="59"/>
      <c r="C7" s="58"/>
      <c r="D7" s="58"/>
      <c r="E7" s="58"/>
      <c r="F7" s="58"/>
      <c r="G7" s="58"/>
      <c r="H7" s="15" t="s">
        <v>13</v>
      </c>
      <c r="I7" s="55"/>
    </row>
    <row r="8" spans="1:11" ht="60" x14ac:dyDescent="0.25">
      <c r="A8" s="16">
        <v>1</v>
      </c>
      <c r="B8" s="16" t="s">
        <v>14</v>
      </c>
      <c r="C8" s="16" t="s">
        <v>15</v>
      </c>
      <c r="D8" s="16" t="s">
        <v>16</v>
      </c>
      <c r="E8" s="16" t="s">
        <v>17</v>
      </c>
      <c r="F8" s="16" t="s">
        <v>18</v>
      </c>
      <c r="G8" s="16" t="s">
        <v>19</v>
      </c>
      <c r="H8" s="17">
        <v>0</v>
      </c>
      <c r="I8" s="17"/>
    </row>
    <row r="9" spans="1:11" ht="60" x14ac:dyDescent="0.25">
      <c r="A9" s="16">
        <f>+A8+1</f>
        <v>2</v>
      </c>
      <c r="B9" s="16" t="s">
        <v>14</v>
      </c>
      <c r="C9" s="16" t="s">
        <v>20</v>
      </c>
      <c r="D9" s="16" t="s">
        <v>16</v>
      </c>
      <c r="E9" s="16" t="s">
        <v>21</v>
      </c>
      <c r="F9" s="16" t="s">
        <v>22</v>
      </c>
      <c r="G9" s="18" t="s">
        <v>23</v>
      </c>
      <c r="H9" s="17">
        <v>1</v>
      </c>
      <c r="I9" s="17"/>
    </row>
    <row r="10" spans="1:11" ht="45" x14ac:dyDescent="0.25">
      <c r="A10" s="16">
        <f t="shared" ref="A10:A29" si="0">+A9+1</f>
        <v>3</v>
      </c>
      <c r="B10" s="16" t="s">
        <v>14</v>
      </c>
      <c r="C10" s="16" t="s">
        <v>24</v>
      </c>
      <c r="D10" s="16" t="s">
        <v>25</v>
      </c>
      <c r="E10" s="16" t="s">
        <v>26</v>
      </c>
      <c r="F10" s="16" t="s">
        <v>27</v>
      </c>
      <c r="G10" s="16" t="s">
        <v>19</v>
      </c>
      <c r="H10" s="17">
        <v>1</v>
      </c>
      <c r="I10" s="17"/>
    </row>
    <row r="11" spans="1:11" ht="75" x14ac:dyDescent="0.25">
      <c r="A11" s="16">
        <f t="shared" si="0"/>
        <v>4</v>
      </c>
      <c r="B11" s="16" t="s">
        <v>14</v>
      </c>
      <c r="C11" s="16" t="s">
        <v>15</v>
      </c>
      <c r="D11" s="16" t="s">
        <v>16</v>
      </c>
      <c r="E11" s="19" t="s">
        <v>28</v>
      </c>
      <c r="F11" s="16" t="s">
        <v>29</v>
      </c>
      <c r="G11" s="16" t="s">
        <v>19</v>
      </c>
      <c r="H11" s="17">
        <v>1</v>
      </c>
      <c r="I11" s="17"/>
    </row>
    <row r="12" spans="1:11" ht="90" x14ac:dyDescent="0.25">
      <c r="A12" s="16">
        <f t="shared" si="0"/>
        <v>5</v>
      </c>
      <c r="B12" s="16" t="s">
        <v>14</v>
      </c>
      <c r="C12" s="16" t="s">
        <v>30</v>
      </c>
      <c r="D12" s="16" t="s">
        <v>89</v>
      </c>
      <c r="E12" s="16" t="s">
        <v>32</v>
      </c>
      <c r="F12" s="16" t="s">
        <v>33</v>
      </c>
      <c r="G12" s="16" t="s">
        <v>19</v>
      </c>
      <c r="H12" s="17">
        <v>1</v>
      </c>
      <c r="I12" s="17"/>
    </row>
    <row r="13" spans="1:11" ht="90" x14ac:dyDescent="0.25">
      <c r="A13" s="16">
        <f t="shared" si="0"/>
        <v>6</v>
      </c>
      <c r="B13" s="16" t="s">
        <v>14</v>
      </c>
      <c r="C13" s="16" t="s">
        <v>34</v>
      </c>
      <c r="D13" s="16" t="s">
        <v>35</v>
      </c>
      <c r="E13" s="16" t="s">
        <v>36</v>
      </c>
      <c r="F13" s="16" t="s">
        <v>37</v>
      </c>
      <c r="G13" s="18" t="s">
        <v>38</v>
      </c>
      <c r="H13" s="17">
        <v>1</v>
      </c>
      <c r="I13" s="17"/>
    </row>
    <row r="14" spans="1:11" ht="105" x14ac:dyDescent="0.25">
      <c r="A14" s="16">
        <f t="shared" si="0"/>
        <v>7</v>
      </c>
      <c r="B14" s="20" t="s">
        <v>14</v>
      </c>
      <c r="C14" s="20" t="s">
        <v>24</v>
      </c>
      <c r="D14" s="20" t="s">
        <v>39</v>
      </c>
      <c r="E14" s="20" t="s">
        <v>40</v>
      </c>
      <c r="F14" s="20" t="s">
        <v>41</v>
      </c>
      <c r="G14" s="21" t="s">
        <v>42</v>
      </c>
      <c r="H14" s="17">
        <v>1</v>
      </c>
      <c r="I14" s="17"/>
    </row>
    <row r="15" spans="1:11" ht="45" x14ac:dyDescent="0.25">
      <c r="A15" s="16">
        <f t="shared" si="0"/>
        <v>8</v>
      </c>
      <c r="B15" s="20" t="s">
        <v>14</v>
      </c>
      <c r="C15" s="20" t="s">
        <v>43</v>
      </c>
      <c r="D15" s="20" t="s">
        <v>88</v>
      </c>
      <c r="E15" s="20" t="s">
        <v>44</v>
      </c>
      <c r="F15" s="20" t="s">
        <v>45</v>
      </c>
      <c r="G15" s="21" t="s">
        <v>46</v>
      </c>
      <c r="H15" s="17">
        <v>1</v>
      </c>
      <c r="I15" s="17"/>
    </row>
    <row r="16" spans="1:11" ht="60" x14ac:dyDescent="0.25">
      <c r="A16" s="16">
        <f t="shared" si="0"/>
        <v>9</v>
      </c>
      <c r="B16" s="22" t="s">
        <v>47</v>
      </c>
      <c r="C16" s="16" t="s">
        <v>48</v>
      </c>
      <c r="D16" s="22" t="s">
        <v>49</v>
      </c>
      <c r="E16" s="22" t="s">
        <v>50</v>
      </c>
      <c r="F16" s="16" t="s">
        <v>51</v>
      </c>
      <c r="G16" s="16" t="s">
        <v>52</v>
      </c>
      <c r="H16" s="17">
        <v>1</v>
      </c>
      <c r="I16" s="23"/>
    </row>
    <row r="17" spans="1:9" ht="45" x14ac:dyDescent="0.25">
      <c r="A17" s="16">
        <f t="shared" si="0"/>
        <v>10</v>
      </c>
      <c r="B17" s="24" t="s">
        <v>47</v>
      </c>
      <c r="C17" s="16" t="s">
        <v>48</v>
      </c>
      <c r="D17" s="24" t="s">
        <v>53</v>
      </c>
      <c r="E17" s="20" t="s">
        <v>54</v>
      </c>
      <c r="F17" s="16" t="s">
        <v>55</v>
      </c>
      <c r="G17" s="16" t="s">
        <v>52</v>
      </c>
      <c r="H17" s="17">
        <v>1</v>
      </c>
      <c r="I17" s="23"/>
    </row>
    <row r="18" spans="1:9" ht="60" x14ac:dyDescent="0.25">
      <c r="A18" s="16">
        <f t="shared" si="0"/>
        <v>11</v>
      </c>
      <c r="B18" s="22" t="s">
        <v>47</v>
      </c>
      <c r="C18" s="16" t="s">
        <v>48</v>
      </c>
      <c r="D18" s="24" t="s">
        <v>53</v>
      </c>
      <c r="E18" s="24" t="s">
        <v>56</v>
      </c>
      <c r="F18" s="16" t="s">
        <v>57</v>
      </c>
      <c r="G18" s="16" t="s">
        <v>52</v>
      </c>
      <c r="H18" s="17">
        <v>1</v>
      </c>
      <c r="I18" s="23"/>
    </row>
    <row r="19" spans="1:9" ht="120" x14ac:dyDescent="0.25">
      <c r="A19" s="16">
        <f t="shared" si="0"/>
        <v>12</v>
      </c>
      <c r="B19" s="16" t="s">
        <v>47</v>
      </c>
      <c r="C19" s="16" t="s">
        <v>48</v>
      </c>
      <c r="D19" s="16" t="s">
        <v>58</v>
      </c>
      <c r="E19" s="16" t="s">
        <v>59</v>
      </c>
      <c r="F19" s="16" t="s">
        <v>60</v>
      </c>
      <c r="G19" s="16" t="s">
        <v>61</v>
      </c>
      <c r="H19" s="17">
        <v>1</v>
      </c>
      <c r="I19" s="17"/>
    </row>
    <row r="20" spans="1:9" ht="195" x14ac:dyDescent="0.25">
      <c r="A20" s="16">
        <f t="shared" si="0"/>
        <v>13</v>
      </c>
      <c r="B20" s="16" t="s">
        <v>47</v>
      </c>
      <c r="C20" s="16" t="s">
        <v>48</v>
      </c>
      <c r="D20" s="16" t="s">
        <v>62</v>
      </c>
      <c r="E20" s="16" t="s">
        <v>63</v>
      </c>
      <c r="F20" s="16" t="s">
        <v>64</v>
      </c>
      <c r="G20" s="16" t="s">
        <v>65</v>
      </c>
      <c r="H20" s="17">
        <v>1</v>
      </c>
      <c r="I20" s="17"/>
    </row>
    <row r="21" spans="1:9" ht="60" x14ac:dyDescent="0.25">
      <c r="A21" s="16">
        <f t="shared" si="0"/>
        <v>14</v>
      </c>
      <c r="B21" s="16" t="s">
        <v>47</v>
      </c>
      <c r="C21" s="16" t="s">
        <v>24</v>
      </c>
      <c r="D21" s="16" t="s">
        <v>90</v>
      </c>
      <c r="E21" s="16" t="s">
        <v>91</v>
      </c>
      <c r="F21" s="16" t="s">
        <v>96</v>
      </c>
      <c r="G21" s="16" t="s">
        <v>65</v>
      </c>
      <c r="H21" s="17">
        <v>1</v>
      </c>
      <c r="I21" s="17"/>
    </row>
    <row r="22" spans="1:9" ht="60" x14ac:dyDescent="0.25">
      <c r="A22" s="16">
        <f t="shared" si="0"/>
        <v>15</v>
      </c>
      <c r="B22" s="16" t="s">
        <v>47</v>
      </c>
      <c r="C22" s="16" t="s">
        <v>24</v>
      </c>
      <c r="D22" s="16" t="s">
        <v>92</v>
      </c>
      <c r="E22" s="16" t="s">
        <v>94</v>
      </c>
      <c r="F22" s="16" t="s">
        <v>95</v>
      </c>
      <c r="G22" s="16" t="s">
        <v>65</v>
      </c>
      <c r="H22" s="17">
        <v>1</v>
      </c>
      <c r="I22" s="17"/>
    </row>
    <row r="23" spans="1:9" ht="60" x14ac:dyDescent="0.25">
      <c r="A23" s="16">
        <f t="shared" si="0"/>
        <v>16</v>
      </c>
      <c r="B23" s="16" t="s">
        <v>47</v>
      </c>
      <c r="C23" s="16" t="s">
        <v>24</v>
      </c>
      <c r="D23" s="16" t="s">
        <v>97</v>
      </c>
      <c r="E23" s="16" t="s">
        <v>98</v>
      </c>
      <c r="F23" s="16" t="s">
        <v>99</v>
      </c>
      <c r="G23" s="16" t="s">
        <v>65</v>
      </c>
      <c r="H23" s="17">
        <v>1</v>
      </c>
      <c r="I23" s="17"/>
    </row>
    <row r="24" spans="1:9" ht="60" x14ac:dyDescent="0.25">
      <c r="A24" s="16">
        <f t="shared" si="0"/>
        <v>17</v>
      </c>
      <c r="B24" s="20" t="s">
        <v>47</v>
      </c>
      <c r="C24" s="20" t="s">
        <v>66</v>
      </c>
      <c r="D24" s="20" t="s">
        <v>67</v>
      </c>
      <c r="E24" s="20" t="s">
        <v>63</v>
      </c>
      <c r="F24" s="20" t="s">
        <v>68</v>
      </c>
      <c r="G24" s="20" t="s">
        <v>19</v>
      </c>
      <c r="H24" s="17">
        <v>1</v>
      </c>
      <c r="I24" s="17"/>
    </row>
    <row r="25" spans="1:9" ht="120" x14ac:dyDescent="0.25">
      <c r="A25" s="16">
        <f t="shared" si="0"/>
        <v>18</v>
      </c>
      <c r="B25" s="20" t="s">
        <v>47</v>
      </c>
      <c r="C25" s="20" t="s">
        <v>69</v>
      </c>
      <c r="D25" s="20" t="s">
        <v>31</v>
      </c>
      <c r="E25" s="20" t="s">
        <v>93</v>
      </c>
      <c r="F25" s="20" t="s">
        <v>70</v>
      </c>
      <c r="G25" s="20" t="s">
        <v>71</v>
      </c>
      <c r="H25" s="17">
        <v>1</v>
      </c>
      <c r="I25" s="17" t="s">
        <v>72</v>
      </c>
    </row>
    <row r="26" spans="1:9" ht="105" x14ac:dyDescent="0.25">
      <c r="A26" s="16">
        <f t="shared" si="0"/>
        <v>19</v>
      </c>
      <c r="B26" s="22" t="s">
        <v>47</v>
      </c>
      <c r="C26" s="22" t="s">
        <v>48</v>
      </c>
      <c r="D26" s="22" t="s">
        <v>53</v>
      </c>
      <c r="E26" s="22" t="s">
        <v>73</v>
      </c>
      <c r="F26" s="16" t="s">
        <v>74</v>
      </c>
      <c r="G26" s="16" t="s">
        <v>52</v>
      </c>
      <c r="H26" s="17">
        <v>1</v>
      </c>
      <c r="I26" s="23"/>
    </row>
    <row r="27" spans="1:9" ht="60" x14ac:dyDescent="0.25">
      <c r="A27" s="16">
        <f t="shared" si="0"/>
        <v>20</v>
      </c>
      <c r="B27" s="20" t="s">
        <v>75</v>
      </c>
      <c r="C27" s="22" t="s">
        <v>76</v>
      </c>
      <c r="D27" s="22" t="s">
        <v>77</v>
      </c>
      <c r="E27" s="20" t="s">
        <v>78</v>
      </c>
      <c r="F27" s="20" t="s">
        <v>79</v>
      </c>
      <c r="G27" s="20" t="s">
        <v>80</v>
      </c>
      <c r="H27" s="17">
        <v>1</v>
      </c>
      <c r="I27" s="23"/>
    </row>
    <row r="28" spans="1:9" ht="135" x14ac:dyDescent="0.25">
      <c r="A28" s="16">
        <f t="shared" si="0"/>
        <v>21</v>
      </c>
      <c r="B28" s="20" t="s">
        <v>75</v>
      </c>
      <c r="C28" s="20" t="s">
        <v>81</v>
      </c>
      <c r="D28" s="20" t="s">
        <v>82</v>
      </c>
      <c r="E28" s="20" t="s">
        <v>83</v>
      </c>
      <c r="F28" s="20" t="s">
        <v>100</v>
      </c>
      <c r="G28" s="20" t="s">
        <v>19</v>
      </c>
      <c r="H28" s="17">
        <v>1</v>
      </c>
      <c r="I28" s="17"/>
    </row>
    <row r="29" spans="1:9" ht="75" x14ac:dyDescent="0.25">
      <c r="A29" s="16">
        <f t="shared" si="0"/>
        <v>22</v>
      </c>
      <c r="B29" s="20" t="s">
        <v>75</v>
      </c>
      <c r="C29" s="20" t="s">
        <v>24</v>
      </c>
      <c r="D29" s="20" t="s">
        <v>84</v>
      </c>
      <c r="E29" s="20" t="s">
        <v>85</v>
      </c>
      <c r="F29" s="20" t="s">
        <v>86</v>
      </c>
      <c r="G29" s="21" t="s">
        <v>87</v>
      </c>
      <c r="H29" s="17">
        <v>1</v>
      </c>
      <c r="I29" s="17"/>
    </row>
    <row r="30" spans="1:9" x14ac:dyDescent="0.25">
      <c r="A30" s="25"/>
      <c r="B30" s="26"/>
      <c r="C30" s="26"/>
      <c r="D30" s="25"/>
      <c r="E30" s="25"/>
      <c r="F30" s="26"/>
      <c r="G30" s="26"/>
      <c r="H30" s="26"/>
      <c r="I30" s="26"/>
    </row>
    <row r="31" spans="1:9" x14ac:dyDescent="0.25">
      <c r="A31" s="27"/>
      <c r="B31" s="28"/>
      <c r="C31" s="28"/>
      <c r="D31" s="27"/>
      <c r="E31" s="27"/>
      <c r="F31" s="28"/>
      <c r="G31" s="28"/>
      <c r="H31" s="28"/>
      <c r="I31" s="28"/>
    </row>
    <row r="32" spans="1:9" x14ac:dyDescent="0.25">
      <c r="A32" s="27"/>
      <c r="B32" s="28"/>
      <c r="C32" s="28"/>
      <c r="D32" s="27"/>
      <c r="E32" s="27"/>
      <c r="F32" s="28"/>
      <c r="G32" s="28"/>
      <c r="H32" s="28"/>
      <c r="I32" s="28"/>
    </row>
    <row r="33" spans="1:9" x14ac:dyDescent="0.25">
      <c r="A33" s="27"/>
      <c r="B33" s="28"/>
      <c r="C33" s="28"/>
      <c r="D33" s="27"/>
      <c r="E33" s="27"/>
      <c r="F33" s="28"/>
      <c r="G33" s="28"/>
      <c r="H33" s="28"/>
      <c r="I33" s="28"/>
    </row>
    <row r="34" spans="1:9" x14ac:dyDescent="0.25">
      <c r="A34" s="27"/>
      <c r="B34" s="28"/>
      <c r="C34" s="28"/>
      <c r="D34" s="27"/>
      <c r="E34" s="27"/>
      <c r="F34" s="28"/>
      <c r="G34" s="28"/>
      <c r="H34" s="26">
        <v>1</v>
      </c>
      <c r="I34" s="28"/>
    </row>
    <row r="35" spans="1:9" x14ac:dyDescent="0.25">
      <c r="A35" s="27"/>
      <c r="B35" s="28"/>
      <c r="C35" s="28"/>
      <c r="D35" s="27"/>
      <c r="E35" s="27"/>
      <c r="F35" s="28"/>
      <c r="G35" s="28"/>
      <c r="H35" s="28"/>
      <c r="I35" s="28"/>
    </row>
    <row r="36" spans="1:9" x14ac:dyDescent="0.25">
      <c r="A36" s="27"/>
      <c r="B36" s="28"/>
      <c r="C36" s="28"/>
      <c r="D36" s="27"/>
      <c r="E36" s="27"/>
      <c r="F36" s="28"/>
      <c r="G36" s="28"/>
      <c r="H36" s="28"/>
      <c r="I36" s="28"/>
    </row>
    <row r="37" spans="1:9" x14ac:dyDescent="0.25">
      <c r="A37" s="27"/>
      <c r="B37" s="28"/>
      <c r="C37" s="28"/>
      <c r="D37" s="27"/>
      <c r="E37" s="27"/>
      <c r="F37" s="28"/>
      <c r="G37" s="28"/>
      <c r="H37" s="28"/>
      <c r="I37" s="28"/>
    </row>
    <row r="38" spans="1:9" x14ac:dyDescent="0.25">
      <c r="A38" s="27"/>
      <c r="B38" s="28"/>
      <c r="C38" s="28"/>
      <c r="D38" s="27"/>
      <c r="E38" s="27"/>
      <c r="F38" s="28"/>
      <c r="G38" s="28"/>
      <c r="H38" s="28"/>
      <c r="I38" s="28"/>
    </row>
    <row r="39" spans="1:9" x14ac:dyDescent="0.25">
      <c r="A39" s="27"/>
      <c r="B39" s="28"/>
      <c r="C39" s="28"/>
      <c r="D39" s="27"/>
      <c r="E39" s="27"/>
      <c r="F39" s="28"/>
      <c r="G39" s="28"/>
      <c r="H39" s="28"/>
      <c r="I39" s="28"/>
    </row>
    <row r="40" spans="1:9" x14ac:dyDescent="0.25">
      <c r="A40" s="27"/>
      <c r="B40" s="28"/>
      <c r="C40" s="28"/>
      <c r="D40" s="27"/>
      <c r="E40" s="27"/>
      <c r="F40" s="28"/>
      <c r="G40" s="28"/>
      <c r="H40" s="28"/>
      <c r="I40" s="28"/>
    </row>
    <row r="41" spans="1:9" x14ac:dyDescent="0.25">
      <c r="A41" s="27"/>
      <c r="B41" s="28"/>
      <c r="C41" s="28"/>
      <c r="D41" s="27"/>
      <c r="E41" s="27"/>
      <c r="F41" s="28"/>
      <c r="G41" s="28"/>
      <c r="H41" s="28"/>
      <c r="I41" s="28"/>
    </row>
    <row r="42" spans="1:9" x14ac:dyDescent="0.25">
      <c r="A42" s="27"/>
      <c r="B42" s="28"/>
      <c r="C42" s="28"/>
      <c r="D42" s="27"/>
      <c r="E42" s="27"/>
      <c r="F42" s="28"/>
      <c r="G42" s="28"/>
      <c r="H42" s="28"/>
      <c r="I42" s="28"/>
    </row>
    <row r="43" spans="1:9" x14ac:dyDescent="0.25">
      <c r="A43" s="27"/>
      <c r="B43" s="28"/>
      <c r="C43" s="28"/>
      <c r="D43" s="27"/>
      <c r="E43" s="27"/>
      <c r="F43" s="28"/>
      <c r="G43" s="28"/>
      <c r="H43" s="28"/>
      <c r="I43" s="28"/>
    </row>
    <row r="44" spans="1:9" x14ac:dyDescent="0.25">
      <c r="A44" s="27"/>
      <c r="B44" s="28"/>
      <c r="C44" s="28"/>
      <c r="D44" s="27"/>
      <c r="E44" s="27"/>
      <c r="F44" s="28"/>
      <c r="G44" s="28"/>
      <c r="H44" s="28"/>
      <c r="I44" s="28"/>
    </row>
  </sheetData>
  <protectedRanges>
    <protectedRange sqref="H8:I29" name="Rango1"/>
  </protectedRanges>
  <mergeCells count="10">
    <mergeCell ref="I6:I7"/>
    <mergeCell ref="H2:H3"/>
    <mergeCell ref="G3:G4"/>
    <mergeCell ref="A6:A7"/>
    <mergeCell ref="B6:B7"/>
    <mergeCell ref="C6:C7"/>
    <mergeCell ref="D6:D7"/>
    <mergeCell ref="E6:E7"/>
    <mergeCell ref="F6:F7"/>
    <mergeCell ref="G6:G7"/>
  </mergeCells>
  <dataValidations count="2">
    <dataValidation type="list" allowBlank="1" showInputMessage="1" showErrorMessage="1" error="1 ó 0" sqref="H8:H29" xr:uid="{00000000-0002-0000-0000-000000000000}">
      <formula1>$K$1:$K$2</formula1>
    </dataValidation>
    <dataValidation type="list" allowBlank="1" showInputMessage="1" showErrorMessage="1" sqref="G2" xr:uid="{00000000-0002-0000-0000-000001000000}">
      <formula1>#REF!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DB76E-B19D-4625-B91A-B42257430CBA}">
  <dimension ref="A1:T50"/>
  <sheetViews>
    <sheetView showGridLines="0" tabSelected="1" view="pageBreakPreview" zoomScale="80" zoomScaleNormal="80" zoomScaleSheetLayoutView="80" workbookViewId="0">
      <selection activeCell="G15" sqref="G15"/>
    </sheetView>
  </sheetViews>
  <sheetFormatPr baseColWidth="10" defaultColWidth="11.5703125" defaultRowHeight="15" customHeight="1" zeroHeight="1" x14ac:dyDescent="0.25"/>
  <cols>
    <col min="1" max="1" width="2.85546875" style="14" customWidth="1"/>
    <col min="2" max="3" width="8.85546875" customWidth="1"/>
    <col min="4" max="4" width="20.42578125" customWidth="1"/>
    <col min="5" max="5" width="41.42578125" style="14" customWidth="1"/>
    <col min="6" max="6" width="16.5703125" style="14" customWidth="1"/>
    <col min="7" max="7" width="33.85546875" style="14" customWidth="1"/>
    <col min="8" max="9" width="3.85546875" customWidth="1"/>
    <col min="10" max="10" width="19.85546875" customWidth="1"/>
    <col min="11" max="11" width="17.5703125" customWidth="1"/>
    <col min="12" max="12" width="12" customWidth="1"/>
    <col min="13" max="19" width="2.5703125" customWidth="1"/>
    <col min="20" max="20" width="2.85546875" customWidth="1"/>
    <col min="21" max="22" width="2.5703125" customWidth="1"/>
    <col min="23" max="23" width="1.85546875" customWidth="1"/>
  </cols>
  <sheetData>
    <row r="1" spans="1:20" x14ac:dyDescent="0.25"/>
    <row r="2" spans="1:20" ht="21.6" customHeight="1" x14ac:dyDescent="0.25">
      <c r="B2" s="90"/>
      <c r="C2" s="91"/>
      <c r="D2" s="92"/>
      <c r="E2" s="96" t="s">
        <v>118</v>
      </c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</row>
    <row r="3" spans="1:20" ht="24" customHeight="1" x14ac:dyDescent="0.25">
      <c r="B3" s="93"/>
      <c r="C3" s="94"/>
      <c r="D3" s="95"/>
      <c r="E3" s="97" t="s">
        <v>124</v>
      </c>
      <c r="F3" s="98"/>
      <c r="G3" s="99"/>
      <c r="H3" s="100" t="s">
        <v>128</v>
      </c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</row>
    <row r="4" spans="1:20" ht="17.25" customHeight="1" x14ac:dyDescent="0.25">
      <c r="B4" s="100" t="s">
        <v>127</v>
      </c>
      <c r="C4" s="100"/>
      <c r="D4" s="100"/>
      <c r="E4" s="98" t="s">
        <v>126</v>
      </c>
      <c r="F4" s="98"/>
      <c r="G4" s="99"/>
      <c r="H4" s="100" t="s">
        <v>125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</row>
    <row r="5" spans="1:20" x14ac:dyDescent="0.25">
      <c r="S5" s="36"/>
    </row>
    <row r="6" spans="1:20" ht="18" customHeight="1" x14ac:dyDescent="0.25">
      <c r="A6" s="37"/>
      <c r="B6" s="101" t="s">
        <v>129</v>
      </c>
      <c r="C6" s="101"/>
      <c r="D6" s="101"/>
      <c r="E6" s="101"/>
      <c r="F6" s="101"/>
      <c r="G6" s="101"/>
      <c r="H6" s="101"/>
      <c r="I6" s="66" t="s">
        <v>123</v>
      </c>
      <c r="J6" s="66"/>
      <c r="K6" s="66" t="s">
        <v>101</v>
      </c>
      <c r="L6" s="66"/>
      <c r="M6" s="84" t="s">
        <v>102</v>
      </c>
      <c r="N6" s="84"/>
      <c r="O6" s="84"/>
      <c r="P6" s="84"/>
      <c r="Q6" s="84"/>
      <c r="R6" s="84"/>
      <c r="S6" s="84"/>
    </row>
    <row r="7" spans="1:20" ht="18" customHeight="1" x14ac:dyDescent="0.25">
      <c r="A7" s="37"/>
      <c r="B7" s="101"/>
      <c r="C7" s="101"/>
      <c r="D7" s="101"/>
      <c r="E7" s="101"/>
      <c r="F7" s="101"/>
      <c r="G7" s="101"/>
      <c r="H7" s="101"/>
      <c r="I7" s="70"/>
      <c r="J7" s="71"/>
      <c r="K7" s="85"/>
      <c r="L7" s="86"/>
      <c r="M7" s="87"/>
      <c r="N7" s="88"/>
      <c r="O7" s="88"/>
      <c r="P7" s="88"/>
      <c r="Q7" s="88"/>
      <c r="R7" s="88"/>
      <c r="S7" s="89"/>
    </row>
    <row r="8" spans="1:20" ht="18" customHeight="1" x14ac:dyDescent="0.25">
      <c r="A8" s="37"/>
      <c r="B8" s="67" t="s">
        <v>130</v>
      </c>
      <c r="C8" s="68"/>
      <c r="D8" s="68"/>
      <c r="E8" s="68"/>
      <c r="F8" s="68"/>
      <c r="G8" s="68"/>
      <c r="H8" s="68"/>
      <c r="I8" s="68"/>
      <c r="J8" s="69"/>
      <c r="K8" s="66" t="s">
        <v>103</v>
      </c>
      <c r="L8" s="66"/>
      <c r="M8" s="66" t="s">
        <v>119</v>
      </c>
      <c r="N8" s="66"/>
      <c r="O8" s="66"/>
      <c r="P8" s="66"/>
      <c r="Q8" s="66"/>
      <c r="R8" s="66"/>
      <c r="S8" s="66"/>
    </row>
    <row r="9" spans="1:20" ht="18" customHeight="1" x14ac:dyDescent="0.25">
      <c r="A9" s="37"/>
      <c r="B9" s="67" t="s">
        <v>131</v>
      </c>
      <c r="C9" s="68"/>
      <c r="D9" s="68"/>
      <c r="E9" s="68"/>
      <c r="F9" s="68"/>
      <c r="G9" s="68"/>
      <c r="H9" s="68"/>
      <c r="I9" s="68"/>
      <c r="J9" s="69"/>
      <c r="K9" s="70"/>
      <c r="L9" s="71"/>
      <c r="M9" s="70"/>
      <c r="N9" s="72"/>
      <c r="O9" s="72"/>
      <c r="P9" s="72"/>
      <c r="Q9" s="72"/>
      <c r="R9" s="72"/>
      <c r="S9" s="71"/>
    </row>
    <row r="10" spans="1:20" ht="14.45" customHeight="1" x14ac:dyDescent="0.25">
      <c r="A10" s="37"/>
      <c r="B10" s="73" t="s">
        <v>121</v>
      </c>
      <c r="C10" s="75" t="s">
        <v>122</v>
      </c>
      <c r="D10" s="76"/>
      <c r="E10" s="41" t="s">
        <v>104</v>
      </c>
      <c r="F10" s="79" t="s">
        <v>105</v>
      </c>
      <c r="G10" s="81" t="s">
        <v>106</v>
      </c>
      <c r="H10" s="79" t="s">
        <v>110</v>
      </c>
      <c r="I10" s="79" t="s">
        <v>111</v>
      </c>
      <c r="J10" s="81" t="s">
        <v>107</v>
      </c>
      <c r="K10" s="75" t="s">
        <v>120</v>
      </c>
      <c r="L10" s="76"/>
      <c r="M10" s="82" t="s">
        <v>108</v>
      </c>
      <c r="N10" s="82"/>
      <c r="O10" s="82"/>
      <c r="P10" s="82"/>
      <c r="Q10" s="82"/>
      <c r="R10" s="82"/>
      <c r="S10" s="83"/>
    </row>
    <row r="11" spans="1:20" x14ac:dyDescent="0.25">
      <c r="A11" s="37"/>
      <c r="B11" s="74"/>
      <c r="C11" s="77"/>
      <c r="D11" s="78"/>
      <c r="E11" s="43" t="s">
        <v>109</v>
      </c>
      <c r="F11" s="80"/>
      <c r="G11" s="81"/>
      <c r="H11" s="80"/>
      <c r="I11" s="80"/>
      <c r="J11" s="81"/>
      <c r="K11" s="77"/>
      <c r="L11" s="78"/>
      <c r="M11" s="41" t="s">
        <v>112</v>
      </c>
      <c r="N11" s="41" t="s">
        <v>113</v>
      </c>
      <c r="O11" s="41" t="s">
        <v>113</v>
      </c>
      <c r="P11" s="41" t="s">
        <v>114</v>
      </c>
      <c r="Q11" s="41" t="s">
        <v>115</v>
      </c>
      <c r="R11" s="41" t="s">
        <v>111</v>
      </c>
      <c r="S11" s="30" t="s">
        <v>116</v>
      </c>
    </row>
    <row r="12" spans="1:20" ht="24" customHeight="1" x14ac:dyDescent="0.25">
      <c r="A12" s="35"/>
      <c r="B12" s="31">
        <v>1</v>
      </c>
      <c r="C12" s="64"/>
      <c r="D12" s="65"/>
      <c r="E12" s="45"/>
      <c r="F12" s="32"/>
      <c r="G12" s="44"/>
      <c r="H12" s="32"/>
      <c r="I12" s="32"/>
      <c r="J12" s="42"/>
      <c r="K12" s="62"/>
      <c r="L12" s="63"/>
      <c r="M12" s="33"/>
      <c r="N12" s="33"/>
      <c r="O12" s="33"/>
      <c r="P12" s="33"/>
      <c r="Q12" s="33"/>
      <c r="R12" s="33"/>
      <c r="S12" s="34"/>
    </row>
    <row r="13" spans="1:20" ht="24" customHeight="1" x14ac:dyDescent="0.25">
      <c r="A13" s="35"/>
      <c r="B13" s="31">
        <v>2</v>
      </c>
      <c r="C13" s="64"/>
      <c r="D13" s="65"/>
      <c r="E13" s="45"/>
      <c r="F13" s="32"/>
      <c r="G13" s="44"/>
      <c r="H13" s="32"/>
      <c r="I13" s="32"/>
      <c r="J13" s="42"/>
      <c r="K13" s="62"/>
      <c r="L13" s="63"/>
      <c r="M13" s="33"/>
      <c r="N13" s="33"/>
      <c r="O13" s="33"/>
      <c r="P13" s="33"/>
      <c r="Q13" s="33"/>
      <c r="R13" s="33"/>
      <c r="S13" s="34"/>
      <c r="T13" s="38"/>
    </row>
    <row r="14" spans="1:20" ht="24" customHeight="1" x14ac:dyDescent="0.25">
      <c r="A14" s="35"/>
      <c r="B14" s="31">
        <v>3</v>
      </c>
      <c r="C14" s="64"/>
      <c r="D14" s="65"/>
      <c r="E14" s="45"/>
      <c r="F14" s="32"/>
      <c r="G14" s="44"/>
      <c r="H14" s="32"/>
      <c r="I14" s="32"/>
      <c r="J14" s="42"/>
      <c r="K14" s="62"/>
      <c r="L14" s="63"/>
      <c r="M14" s="33"/>
      <c r="N14" s="33"/>
      <c r="O14" s="33"/>
      <c r="P14" s="33"/>
      <c r="Q14" s="33"/>
      <c r="R14" s="33"/>
      <c r="S14" s="34"/>
      <c r="T14" s="38"/>
    </row>
    <row r="15" spans="1:20" ht="24" customHeight="1" x14ac:dyDescent="0.25">
      <c r="A15" s="35"/>
      <c r="B15" s="31">
        <v>4</v>
      </c>
      <c r="C15" s="64"/>
      <c r="D15" s="65"/>
      <c r="E15" s="45"/>
      <c r="F15" s="32"/>
      <c r="G15" s="44"/>
      <c r="H15" s="32"/>
      <c r="I15" s="32"/>
      <c r="J15" s="42"/>
      <c r="K15" s="62"/>
      <c r="L15" s="63"/>
      <c r="M15" s="33"/>
      <c r="N15" s="33"/>
      <c r="O15" s="33"/>
      <c r="P15" s="33"/>
      <c r="Q15" s="33"/>
      <c r="R15" s="33"/>
      <c r="S15" s="34"/>
      <c r="T15" s="38"/>
    </row>
    <row r="16" spans="1:20" ht="24" customHeight="1" x14ac:dyDescent="0.25">
      <c r="A16" s="35"/>
      <c r="B16" s="31">
        <v>5</v>
      </c>
      <c r="C16" s="64"/>
      <c r="D16" s="65"/>
      <c r="E16" s="45"/>
      <c r="F16" s="32"/>
      <c r="G16" s="44"/>
      <c r="H16" s="32"/>
      <c r="I16" s="32"/>
      <c r="J16" s="42"/>
      <c r="K16" s="62"/>
      <c r="L16" s="63"/>
      <c r="M16" s="33"/>
      <c r="N16" s="33"/>
      <c r="O16" s="33"/>
      <c r="P16" s="33"/>
      <c r="Q16" s="33"/>
      <c r="R16" s="33"/>
      <c r="S16" s="34"/>
      <c r="T16" s="38"/>
    </row>
    <row r="17" spans="1:20" ht="24" customHeight="1" x14ac:dyDescent="0.25">
      <c r="A17" s="35"/>
      <c r="B17" s="31">
        <v>6</v>
      </c>
      <c r="C17" s="64"/>
      <c r="D17" s="65"/>
      <c r="E17" s="45"/>
      <c r="F17" s="32"/>
      <c r="G17" s="44"/>
      <c r="H17" s="32"/>
      <c r="I17" s="32"/>
      <c r="J17" s="42"/>
      <c r="K17" s="62"/>
      <c r="L17" s="63"/>
      <c r="M17" s="33"/>
      <c r="N17" s="33"/>
      <c r="O17" s="33"/>
      <c r="P17" s="33"/>
      <c r="Q17" s="33"/>
      <c r="R17" s="33"/>
      <c r="S17" s="34"/>
      <c r="T17" s="38"/>
    </row>
    <row r="18" spans="1:20" ht="24" customHeight="1" x14ac:dyDescent="0.25">
      <c r="A18" s="35"/>
      <c r="B18" s="31">
        <v>7</v>
      </c>
      <c r="C18" s="64"/>
      <c r="D18" s="65"/>
      <c r="E18" s="32"/>
      <c r="F18" s="32"/>
      <c r="G18" s="44"/>
      <c r="H18" s="32"/>
      <c r="I18" s="32"/>
      <c r="J18" s="42"/>
      <c r="K18" s="62"/>
      <c r="L18" s="63"/>
      <c r="M18" s="33"/>
      <c r="N18" s="33"/>
      <c r="O18" s="33"/>
      <c r="P18" s="33"/>
      <c r="Q18" s="33"/>
      <c r="R18" s="33"/>
      <c r="S18" s="34"/>
      <c r="T18" s="38"/>
    </row>
    <row r="19" spans="1:20" ht="24" customHeight="1" x14ac:dyDescent="0.25">
      <c r="A19" s="35"/>
      <c r="B19" s="31">
        <v>8</v>
      </c>
      <c r="C19" s="64"/>
      <c r="D19" s="65"/>
      <c r="E19" s="32"/>
      <c r="F19" s="32"/>
      <c r="G19" s="44"/>
      <c r="H19" s="32"/>
      <c r="I19" s="32"/>
      <c r="J19" s="42"/>
      <c r="K19" s="62"/>
      <c r="L19" s="63"/>
      <c r="M19" s="33"/>
      <c r="N19" s="33"/>
      <c r="O19" s="33"/>
      <c r="P19" s="33"/>
      <c r="Q19" s="33"/>
      <c r="R19" s="33"/>
      <c r="S19" s="34"/>
      <c r="T19" s="38"/>
    </row>
    <row r="20" spans="1:20" ht="24" customHeight="1" x14ac:dyDescent="0.25">
      <c r="A20" s="35"/>
      <c r="B20" s="31">
        <v>9</v>
      </c>
      <c r="C20" s="64"/>
      <c r="D20" s="65"/>
      <c r="E20" s="32"/>
      <c r="F20" s="32"/>
      <c r="G20" s="32"/>
      <c r="H20" s="32"/>
      <c r="I20" s="32"/>
      <c r="J20" s="32"/>
      <c r="K20" s="62"/>
      <c r="L20" s="63"/>
      <c r="M20" s="33"/>
      <c r="N20" s="33"/>
      <c r="O20" s="33"/>
      <c r="P20" s="33"/>
      <c r="Q20" s="33"/>
      <c r="R20" s="33"/>
      <c r="S20" s="34"/>
      <c r="T20" s="38"/>
    </row>
    <row r="21" spans="1:20" ht="24" customHeight="1" x14ac:dyDescent="0.25">
      <c r="A21" s="35"/>
      <c r="B21" s="31">
        <v>10</v>
      </c>
      <c r="C21" s="60"/>
      <c r="D21" s="61"/>
      <c r="E21" s="32"/>
      <c r="F21" s="33"/>
      <c r="G21" s="32"/>
      <c r="H21" s="32"/>
      <c r="I21" s="33"/>
      <c r="J21" s="33"/>
      <c r="K21" s="62"/>
      <c r="L21" s="63"/>
      <c r="M21" s="33"/>
      <c r="N21" s="33"/>
      <c r="O21" s="33"/>
      <c r="P21" s="33"/>
      <c r="Q21" s="33"/>
      <c r="R21" s="33"/>
      <c r="S21" s="34"/>
      <c r="T21" s="38"/>
    </row>
    <row r="22" spans="1:20" ht="24" customHeight="1" x14ac:dyDescent="0.25">
      <c r="A22" s="35"/>
      <c r="B22" s="31">
        <v>11</v>
      </c>
      <c r="C22" s="60"/>
      <c r="D22" s="61"/>
      <c r="E22" s="32"/>
      <c r="F22" s="33"/>
      <c r="G22" s="32"/>
      <c r="H22" s="32"/>
      <c r="I22" s="33"/>
      <c r="J22" s="33"/>
      <c r="K22" s="62"/>
      <c r="L22" s="63"/>
      <c r="M22" s="33"/>
      <c r="N22" s="33"/>
      <c r="O22" s="33"/>
      <c r="P22" s="33"/>
      <c r="Q22" s="33"/>
      <c r="R22" s="33"/>
      <c r="S22" s="34"/>
      <c r="T22" s="38"/>
    </row>
    <row r="23" spans="1:20" ht="24" customHeight="1" x14ac:dyDescent="0.25">
      <c r="A23" s="35"/>
      <c r="B23" s="31">
        <v>12</v>
      </c>
      <c r="C23" s="60"/>
      <c r="D23" s="61"/>
      <c r="E23" s="32"/>
      <c r="F23" s="33"/>
      <c r="G23" s="32"/>
      <c r="H23" s="32"/>
      <c r="I23" s="33"/>
      <c r="J23" s="33"/>
      <c r="K23" s="62"/>
      <c r="L23" s="63"/>
      <c r="M23" s="33"/>
      <c r="N23" s="33"/>
      <c r="O23" s="33"/>
      <c r="P23" s="33"/>
      <c r="Q23" s="33"/>
      <c r="R23" s="33"/>
      <c r="S23" s="34"/>
      <c r="T23" s="38"/>
    </row>
    <row r="24" spans="1:20" ht="24" customHeight="1" x14ac:dyDescent="0.25">
      <c r="A24" s="35"/>
      <c r="B24" s="31">
        <v>13</v>
      </c>
      <c r="C24" s="48"/>
      <c r="D24" s="49"/>
      <c r="E24" s="32"/>
      <c r="F24" s="33"/>
      <c r="G24" s="32"/>
      <c r="H24" s="32"/>
      <c r="I24" s="33"/>
      <c r="J24" s="33"/>
      <c r="K24" s="46"/>
      <c r="L24" s="47"/>
      <c r="M24" s="33"/>
      <c r="N24" s="33"/>
      <c r="O24" s="33"/>
      <c r="P24" s="33"/>
      <c r="Q24" s="33"/>
      <c r="R24" s="33"/>
      <c r="S24" s="34"/>
      <c r="T24" s="38"/>
    </row>
    <row r="25" spans="1:20" ht="24" customHeight="1" x14ac:dyDescent="0.25">
      <c r="A25" s="35"/>
      <c r="B25" s="31">
        <v>14</v>
      </c>
      <c r="C25" s="48"/>
      <c r="D25" s="49"/>
      <c r="E25" s="32"/>
      <c r="F25" s="33"/>
      <c r="G25" s="32"/>
      <c r="H25" s="32"/>
      <c r="I25" s="33"/>
      <c r="J25" s="33"/>
      <c r="K25" s="46"/>
      <c r="L25" s="47"/>
      <c r="M25" s="33"/>
      <c r="N25" s="33"/>
      <c r="O25" s="33"/>
      <c r="P25" s="33"/>
      <c r="Q25" s="33"/>
      <c r="R25" s="33"/>
      <c r="S25" s="34"/>
      <c r="T25" s="38"/>
    </row>
    <row r="26" spans="1:20" ht="24" customHeight="1" x14ac:dyDescent="0.25">
      <c r="A26" s="35"/>
      <c r="B26" s="31">
        <v>15</v>
      </c>
      <c r="C26" s="60"/>
      <c r="D26" s="61"/>
      <c r="E26" s="32"/>
      <c r="F26" s="33"/>
      <c r="G26" s="32"/>
      <c r="H26" s="32"/>
      <c r="I26" s="33"/>
      <c r="J26" s="33"/>
      <c r="K26" s="62"/>
      <c r="L26" s="63"/>
      <c r="M26" s="33"/>
      <c r="N26" s="33"/>
      <c r="O26" s="33"/>
      <c r="P26" s="33"/>
      <c r="Q26" s="33"/>
      <c r="R26" s="33"/>
      <c r="S26" s="34"/>
      <c r="T26" s="38"/>
    </row>
    <row r="27" spans="1:20" ht="24" customHeight="1" x14ac:dyDescent="0.25">
      <c r="A27" s="35"/>
      <c r="B27" s="50"/>
      <c r="C27" s="50"/>
      <c r="F27" s="51"/>
      <c r="G27" s="52"/>
      <c r="H27" s="52"/>
      <c r="I27" s="51"/>
      <c r="J27" s="51"/>
      <c r="K27" s="52"/>
      <c r="L27" s="52"/>
      <c r="M27" s="33"/>
      <c r="N27" s="33"/>
      <c r="O27" s="33"/>
      <c r="P27" s="33"/>
      <c r="Q27" s="33"/>
      <c r="R27" s="33"/>
      <c r="S27" s="34"/>
      <c r="T27" s="38"/>
    </row>
    <row r="28" spans="1:20" ht="24" customHeight="1" x14ac:dyDescent="0.25">
      <c r="A28" s="35"/>
      <c r="B28" s="29"/>
      <c r="C28" s="29"/>
      <c r="D28" s="53"/>
      <c r="E28" s="54"/>
      <c r="F28" s="29"/>
      <c r="G28" s="29"/>
      <c r="H28" s="29"/>
      <c r="I28" s="29"/>
      <c r="J28" s="29"/>
      <c r="K28" s="29"/>
      <c r="L28" s="29"/>
      <c r="M28" s="33"/>
      <c r="N28" s="33"/>
      <c r="O28" s="33"/>
      <c r="P28" s="33"/>
      <c r="Q28" s="33"/>
      <c r="R28" s="33"/>
      <c r="S28" s="34"/>
      <c r="T28" s="38"/>
    </row>
    <row r="29" spans="1:20" ht="42.95" customHeight="1" x14ac:dyDescent="0.25">
      <c r="A29" s="29"/>
      <c r="B29" s="29"/>
      <c r="C29" s="29"/>
      <c r="D29" s="50"/>
      <c r="E29" s="52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</row>
    <row r="30" spans="1:20" ht="24.95" customHeight="1" x14ac:dyDescent="0.25">
      <c r="A30" s="29"/>
      <c r="B30" s="29"/>
      <c r="C30" s="29"/>
      <c r="D30" s="40" t="s">
        <v>117</v>
      </c>
      <c r="E30" s="3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</row>
    <row r="31" spans="1:20" hidden="1" x14ac:dyDescent="0.25">
      <c r="A31" s="29"/>
      <c r="B31" s="29"/>
      <c r="M31" s="29"/>
      <c r="N31" s="29"/>
      <c r="O31" s="29"/>
      <c r="P31" s="29"/>
      <c r="Q31" s="29"/>
      <c r="R31" s="29"/>
      <c r="S31" s="29"/>
      <c r="T31" s="29"/>
    </row>
    <row r="32" spans="1:20" hidden="1" x14ac:dyDescent="0.25">
      <c r="A32" s="29"/>
      <c r="M32" s="29"/>
      <c r="N32" s="29"/>
      <c r="O32" s="29"/>
      <c r="P32" s="29"/>
      <c r="Q32" s="29"/>
      <c r="R32" s="29"/>
      <c r="S32" s="29"/>
      <c r="T32" s="29"/>
    </row>
    <row r="33" hidden="1" x14ac:dyDescent="0.25"/>
    <row r="34" hidden="1" x14ac:dyDescent="0.25"/>
    <row r="35" hidden="1" x14ac:dyDescent="0.25"/>
    <row r="36" hidden="1" x14ac:dyDescent="0.25"/>
    <row r="37" hidden="1" x14ac:dyDescent="0.25"/>
    <row r="38" hidden="1" x14ac:dyDescent="0.25"/>
    <row r="39" hidden="1" x14ac:dyDescent="0.25"/>
    <row r="40" hidden="1" x14ac:dyDescent="0.25"/>
    <row r="41" hidden="1" x14ac:dyDescent="0.25"/>
    <row r="42" hidden="1" x14ac:dyDescent="0.25"/>
    <row r="43" hidden="1" x14ac:dyDescent="0.25"/>
    <row r="44" hidden="1" x14ac:dyDescent="0.25"/>
    <row r="45" hidden="1" x14ac:dyDescent="0.25"/>
    <row r="46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</sheetData>
  <mergeCells count="55">
    <mergeCell ref="C26:D26"/>
    <mergeCell ref="K26:L26"/>
    <mergeCell ref="B6:H7"/>
    <mergeCell ref="I6:J6"/>
    <mergeCell ref="K6:L6"/>
    <mergeCell ref="B8:J8"/>
    <mergeCell ref="K8:L8"/>
    <mergeCell ref="C12:D12"/>
    <mergeCell ref="K12:L12"/>
    <mergeCell ref="C13:D13"/>
    <mergeCell ref="K13:L13"/>
    <mergeCell ref="C16:D16"/>
    <mergeCell ref="K16:L16"/>
    <mergeCell ref="C14:D14"/>
    <mergeCell ref="C15:D15"/>
    <mergeCell ref="K15:L15"/>
    <mergeCell ref="M6:S6"/>
    <mergeCell ref="I7:J7"/>
    <mergeCell ref="K7:L7"/>
    <mergeCell ref="M7:S7"/>
    <mergeCell ref="B2:D3"/>
    <mergeCell ref="E2:S2"/>
    <mergeCell ref="E3:G3"/>
    <mergeCell ref="H3:S3"/>
    <mergeCell ref="B4:D4"/>
    <mergeCell ref="E4:G4"/>
    <mergeCell ref="H4:S4"/>
    <mergeCell ref="M8:S8"/>
    <mergeCell ref="B9:J9"/>
    <mergeCell ref="K9:L9"/>
    <mergeCell ref="M9:S9"/>
    <mergeCell ref="B10:B11"/>
    <mergeCell ref="C10:D11"/>
    <mergeCell ref="F10:F11"/>
    <mergeCell ref="G10:G11"/>
    <mergeCell ref="H10:H11"/>
    <mergeCell ref="M10:S10"/>
    <mergeCell ref="I10:I11"/>
    <mergeCell ref="J10:J11"/>
    <mergeCell ref="K10:L11"/>
    <mergeCell ref="K14:L14"/>
    <mergeCell ref="C17:D17"/>
    <mergeCell ref="K17:L17"/>
    <mergeCell ref="C18:D18"/>
    <mergeCell ref="K18:L18"/>
    <mergeCell ref="C23:D23"/>
    <mergeCell ref="K23:L23"/>
    <mergeCell ref="C19:D19"/>
    <mergeCell ref="K19:L19"/>
    <mergeCell ref="C22:D22"/>
    <mergeCell ref="K22:L22"/>
    <mergeCell ref="C20:D20"/>
    <mergeCell ref="K20:L20"/>
    <mergeCell ref="C21:D21"/>
    <mergeCell ref="K21:L21"/>
  </mergeCells>
  <pageMargins left="0.23622047244094491" right="0.23622047244094491" top="0.74803149606299213" bottom="0.74803149606299213" header="0.31496062992125984" footer="0.31496062992125984"/>
  <pageSetup scale="59" orientation="landscape" r:id="rId1"/>
  <headerFooter differentOddEven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Original</vt:lpstr>
      <vt:lpstr>Hoja1</vt:lpstr>
      <vt:lpstr>Lista de Asistencia fisica 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 Garcia, Evanan Andres</dc:creator>
  <cp:lastModifiedBy>Jennifer Villaseñor Mondragon</cp:lastModifiedBy>
  <cp:lastPrinted>2026-05-21T19:04:40Z</cp:lastPrinted>
  <dcterms:created xsi:type="dcterms:W3CDTF">2018-02-01T18:30:00Z</dcterms:created>
  <dcterms:modified xsi:type="dcterms:W3CDTF">2026-05-27T20:33:43Z</dcterms:modified>
</cp:coreProperties>
</file>